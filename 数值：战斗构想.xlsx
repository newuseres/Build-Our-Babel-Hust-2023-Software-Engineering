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010\Desktop\work\babel\Build-Our-Babel-Hust-2023-Software-Engineering\"/>
    </mc:Choice>
  </mc:AlternateContent>
  <xr:revisionPtr revIDLastSave="0" documentId="13_ncr:1_{5BDB094C-0F39-4A45-AC84-33FDC6E264CC}" xr6:coauthVersionLast="47" xr6:coauthVersionMax="47" xr10:uidLastSave="{00000000-0000-0000-0000-000000000000}"/>
  <bookViews>
    <workbookView xWindow="-108" yWindow="-108" windowWidth="23256" windowHeight="12456" xr2:uid="{3D02B95B-D615-48E3-99A6-4B1DE53F7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C77" i="1"/>
  <c r="E77" i="1"/>
  <c r="C73" i="1"/>
  <c r="E75" i="1"/>
  <c r="M74" i="1"/>
  <c r="L91" i="1"/>
  <c r="M58" i="1"/>
  <c r="M75" i="1"/>
  <c r="U57" i="1"/>
  <c r="U56" i="1"/>
  <c r="L71" i="1"/>
  <c r="C75" i="1" s="1"/>
  <c r="M57" i="1"/>
  <c r="M56" i="1"/>
  <c r="N51" i="1"/>
  <c r="E73" i="1" s="1"/>
  <c r="M51" i="1"/>
  <c r="F73" i="1" s="1"/>
  <c r="N36" i="1"/>
  <c r="N39" i="1" s="1"/>
  <c r="N42" i="1" s="1"/>
  <c r="N45" i="1" s="1"/>
  <c r="N48" i="1" s="1"/>
  <c r="N35" i="1"/>
  <c r="N38" i="1" s="1"/>
  <c r="N41" i="1" s="1"/>
  <c r="N44" i="1" s="1"/>
  <c r="N47" i="1" s="1"/>
  <c r="N34" i="1"/>
  <c r="N37" i="1" s="1"/>
  <c r="N40" i="1" s="1"/>
  <c r="N43" i="1" s="1"/>
  <c r="N46" i="1" s="1"/>
  <c r="G24" i="1"/>
  <c r="G25" i="1" s="1"/>
  <c r="G29" i="1" s="1"/>
  <c r="H24" i="1"/>
  <c r="H28" i="1" s="1"/>
  <c r="I24" i="1"/>
  <c r="J24" i="1"/>
  <c r="J28" i="1" s="1"/>
  <c r="F24" i="1"/>
  <c r="F28" i="1" s="1"/>
  <c r="I29" i="1" l="1"/>
  <c r="M61" i="1"/>
  <c r="M60" i="1"/>
  <c r="M63" i="1" s="1"/>
  <c r="M66" i="1" s="1"/>
  <c r="J25" i="1"/>
  <c r="J29" i="1" s="1"/>
  <c r="U77" i="1"/>
  <c r="U76" i="1"/>
  <c r="M59" i="1"/>
  <c r="M62" i="1" s="1"/>
  <c r="M65" i="1" s="1"/>
  <c r="M71" i="1"/>
  <c r="M78" i="1" s="1"/>
  <c r="M81" i="1" s="1"/>
  <c r="M84" i="1" s="1"/>
  <c r="M87" i="1" s="1"/>
  <c r="F25" i="1"/>
  <c r="F29" i="1" s="1"/>
  <c r="H25" i="1"/>
  <c r="H29" i="1" s="1"/>
  <c r="M64" i="1"/>
  <c r="M77" i="1" l="1"/>
  <c r="M80" i="1" s="1"/>
  <c r="M83" i="1" s="1"/>
  <c r="M86" i="1" s="1"/>
  <c r="V56" i="1"/>
  <c r="M76" i="1"/>
  <c r="M79" i="1" s="1"/>
  <c r="M82" i="1" s="1"/>
  <c r="M85" i="1" s="1"/>
  <c r="M88" i="1" s="1"/>
  <c r="F75" i="1"/>
  <c r="M91" i="1"/>
  <c r="F77" i="1" s="1"/>
  <c r="M67" i="1"/>
  <c r="V76" i="1" l="1"/>
  <c r="U58" i="1"/>
  <c r="U61" i="1" s="1"/>
  <c r="U64" i="1" s="1"/>
  <c r="U67" i="1" s="1"/>
  <c r="U70" i="1" s="1"/>
  <c r="U73" i="1" s="1"/>
  <c r="U59" i="1"/>
  <c r="U62" i="1" s="1"/>
  <c r="U65" i="1" s="1"/>
  <c r="U68" i="1" s="1"/>
  <c r="U71" i="1" s="1"/>
  <c r="U60" i="1"/>
  <c r="U63" i="1" s="1"/>
  <c r="U66" i="1" s="1"/>
  <c r="U69" i="1" s="1"/>
  <c r="U72" i="1" s="1"/>
  <c r="U78" i="1" l="1"/>
  <c r="U81" i="1" s="1"/>
  <c r="U84" i="1" s="1"/>
  <c r="U87" i="1" s="1"/>
  <c r="U90" i="1" s="1"/>
  <c r="U93" i="1" s="1"/>
  <c r="U79" i="1"/>
  <c r="U82" i="1" s="1"/>
  <c r="U85" i="1" s="1"/>
  <c r="U88" i="1" s="1"/>
  <c r="U91" i="1" s="1"/>
  <c r="U80" i="1"/>
  <c r="U83" i="1" s="1"/>
  <c r="U86" i="1" s="1"/>
  <c r="U89" i="1" s="1"/>
  <c r="U92" i="1" s="1"/>
</calcChain>
</file>

<file path=xl/sharedStrings.xml><?xml version="1.0" encoding="utf-8"?>
<sst xmlns="http://schemas.openxmlformats.org/spreadsheetml/2006/main" count="238" uniqueCount="132">
  <si>
    <t>开局（应该不会再进行修改）</t>
    <phoneticPr fontId="1" type="noConversion"/>
  </si>
  <si>
    <t>初始矿工</t>
  </si>
  <si>
    <t>初始金币</t>
  </si>
  <si>
    <t>初始矿工上限</t>
  </si>
  <si>
    <t>科技等级</t>
  </si>
  <si>
    <t>科技等级</t>
    <phoneticPr fontId="1" type="noConversion"/>
  </si>
  <si>
    <t>产能</t>
    <phoneticPr fontId="1" type="noConversion"/>
  </si>
  <si>
    <t>卡阶1</t>
    <phoneticPr fontId="1" type="noConversion"/>
  </si>
  <si>
    <t>卡阶2</t>
  </si>
  <si>
    <t>卡阶3</t>
  </si>
  <si>
    <t>卡阶4</t>
  </si>
  <si>
    <t>卡阶5</t>
  </si>
  <si>
    <t>目前构思战斗如下</t>
    <phoneticPr fontId="1" type="noConversion"/>
  </si>
  <si>
    <t>矿工上限</t>
    <phoneticPr fontId="1" type="noConversion"/>
  </si>
  <si>
    <t>商店刷新卡片等级（已修改，确定）</t>
    <phoneticPr fontId="1" type="noConversion"/>
  </si>
  <si>
    <t>主要通过（科技等级3以后）刷新惩罚限制：购买惩罚系数调整？</t>
    <phoneticPr fontId="1" type="noConversion"/>
  </si>
  <si>
    <t>购买惩罚倍率</t>
  </si>
  <si>
    <t>要调整</t>
    <phoneticPr fontId="1" type="noConversion"/>
  </si>
  <si>
    <t>刷新金币</t>
    <phoneticPr fontId="1" type="noConversion"/>
  </si>
  <si>
    <t>重点</t>
    <phoneticPr fontId="1" type="noConversion"/>
  </si>
  <si>
    <t>矿工上限--层高？</t>
    <phoneticPr fontId="1" type="noConversion"/>
  </si>
  <si>
    <t>战斗系统（建筑数值）准备大面积重置（？）</t>
    <phoneticPr fontId="1" type="noConversion"/>
  </si>
  <si>
    <t>科技等级-卡牌（层）阶次</t>
    <phoneticPr fontId="1" type="noConversion"/>
  </si>
  <si>
    <t>本回合</t>
    <phoneticPr fontId="1" type="noConversion"/>
  </si>
  <si>
    <t>上一回合</t>
    <phoneticPr fontId="1" type="noConversion"/>
  </si>
  <si>
    <t>层数</t>
    <phoneticPr fontId="1" type="noConversion"/>
  </si>
  <si>
    <t>上二回合</t>
    <phoneticPr fontId="1" type="noConversion"/>
  </si>
  <si>
    <t>受伤总量</t>
    <phoneticPr fontId="1" type="noConversion"/>
  </si>
  <si>
    <t>攻击</t>
    <phoneticPr fontId="1" type="noConversion"/>
  </si>
  <si>
    <t>重量</t>
    <phoneticPr fontId="1" type="noConversion"/>
  </si>
  <si>
    <t>生命值</t>
    <phoneticPr fontId="1" type="noConversion"/>
  </si>
  <si>
    <t>模型</t>
    <phoneticPr fontId="1" type="noConversion"/>
  </si>
  <si>
    <t>对应科技等级期望</t>
    <phoneticPr fontId="1" type="noConversion"/>
  </si>
  <si>
    <t>从最简单的战斗模型开始（稳态）</t>
    <phoneticPr fontId="1" type="noConversion"/>
  </si>
  <si>
    <t>每回合购买3层建筑</t>
    <phoneticPr fontId="1" type="noConversion"/>
  </si>
  <si>
    <t>稳态之后</t>
    <phoneticPr fontId="1" type="noConversion"/>
  </si>
  <si>
    <t>1级</t>
    <phoneticPr fontId="1" type="noConversion"/>
  </si>
  <si>
    <t>高级对低级效果：提早1回合（？</t>
    <phoneticPr fontId="1" type="noConversion"/>
  </si>
  <si>
    <t>攻击力</t>
    <phoneticPr fontId="1" type="noConversion"/>
  </si>
  <si>
    <t>3级</t>
    <phoneticPr fontId="1" type="noConversion"/>
  </si>
  <si>
    <t>5级</t>
    <phoneticPr fontId="1" type="noConversion"/>
  </si>
  <si>
    <t>上三回合</t>
    <phoneticPr fontId="1" type="noConversion"/>
  </si>
  <si>
    <t>单层存在时间估计为4T，购买3层</t>
    <phoneticPr fontId="1" type="noConversion"/>
  </si>
  <si>
    <t>已破坏</t>
    <phoneticPr fontId="1" type="noConversion"/>
  </si>
  <si>
    <t>区间</t>
    <phoneticPr fontId="1" type="noConversion"/>
  </si>
  <si>
    <t>上四回合</t>
    <phoneticPr fontId="1" type="noConversion"/>
  </si>
  <si>
    <t>上五回合</t>
    <phoneticPr fontId="1" type="noConversion"/>
  </si>
  <si>
    <t>-</t>
    <phoneticPr fontId="1" type="noConversion"/>
  </si>
  <si>
    <t>矿工数值（应该也不会再动）(x）</t>
    <phoneticPr fontId="1" type="noConversion"/>
  </si>
  <si>
    <t>刷新惩罚系数</t>
    <phoneticPr fontId="1" type="noConversion"/>
  </si>
  <si>
    <t>购买翻倍：1+2+4=7</t>
    <phoneticPr fontId="1" type="noConversion"/>
  </si>
  <si>
    <t>初始金额</t>
    <phoneticPr fontId="1" type="noConversion"/>
  </si>
  <si>
    <t>矿工</t>
    <phoneticPr fontId="1" type="noConversion"/>
  </si>
  <si>
    <t>重点避免硬撑拖升级的操作</t>
    <phoneticPr fontId="1" type="noConversion"/>
  </si>
  <si>
    <t>4/7*期望科技等级对应产能*本层提供矿工上限</t>
    <phoneticPr fontId="1" type="noConversion"/>
  </si>
  <si>
    <t>对应产能</t>
    <phoneticPr fontId="1" type="noConversion"/>
  </si>
  <si>
    <t>经济类层</t>
    <phoneticPr fontId="1" type="noConversion"/>
  </si>
  <si>
    <t>战斗类层</t>
    <phoneticPr fontId="1" type="noConversion"/>
  </si>
  <si>
    <t>1、3、5几乎是全部经济类建筑，对应更便宜以及更少的矿工上限</t>
    <phoneticPr fontId="1" type="noConversion"/>
  </si>
  <si>
    <t>*战斗类层决定环境压力</t>
    <phoneticPr fontId="1" type="noConversion"/>
  </si>
  <si>
    <t>如何限制？</t>
    <phoneticPr fontId="1" type="noConversion"/>
  </si>
  <si>
    <t>*可能有点强了</t>
    <phoneticPr fontId="1" type="noConversion"/>
  </si>
  <si>
    <t>价格</t>
  </si>
  <si>
    <t>价格</t>
    <phoneticPr fontId="1" type="noConversion"/>
  </si>
  <si>
    <t>生产力</t>
  </si>
  <si>
    <t>攻击力</t>
  </si>
  <si>
    <t>耐久度</t>
  </si>
  <si>
    <t>重量</t>
  </si>
  <si>
    <t>等级</t>
  </si>
  <si>
    <t>增加矿工上限</t>
  </si>
  <si>
    <t>2级</t>
    <phoneticPr fontId="1" type="noConversion"/>
  </si>
  <si>
    <t>4级</t>
    <phoneticPr fontId="1" type="noConversion"/>
  </si>
  <si>
    <t>总生产力</t>
    <phoneticPr fontId="1" type="noConversion"/>
  </si>
  <si>
    <t>-&gt;</t>
    <phoneticPr fontId="1" type="noConversion"/>
  </si>
  <si>
    <t>据此决定价格</t>
    <phoneticPr fontId="1" type="noConversion"/>
  </si>
  <si>
    <t>但是矿工上限需要由期望等级</t>
    <phoneticPr fontId="1" type="noConversion"/>
  </si>
  <si>
    <t>战斗类建筑只提供矿工上限</t>
    <phoneticPr fontId="1" type="noConversion"/>
  </si>
  <si>
    <t>向上取整吧（）还有就是按刷新概率</t>
    <phoneticPr fontId="1" type="noConversion"/>
  </si>
  <si>
    <t>说实话生产力有点低的感觉（）</t>
    <phoneticPr fontId="1" type="noConversion"/>
  </si>
  <si>
    <t>但考虑到只增不减仅受矿工上限限制</t>
    <phoneticPr fontId="1" type="noConversion"/>
  </si>
  <si>
    <t>还是压制住比较好</t>
    <phoneticPr fontId="1" type="noConversion"/>
  </si>
  <si>
    <t>可能有点严格了，升级降系数应该会让体验更好但不希望无脑……（折衷一下？</t>
    <phoneticPr fontId="1" type="noConversion"/>
  </si>
  <si>
    <t>GunFloor</t>
  </si>
  <si>
    <t>HeavyGunFloor</t>
  </si>
  <si>
    <t>3级</t>
  </si>
  <si>
    <t>5级</t>
  </si>
  <si>
    <t>增加耐久、重量，降低攻击力（打三）</t>
    <phoneticPr fontId="1" type="noConversion"/>
  </si>
  <si>
    <t>30*22+100*4</t>
  </si>
  <si>
    <t>30*26+100*5</t>
    <phoneticPr fontId="1" type="noConversion"/>
  </si>
  <si>
    <t>75*26+250*5</t>
    <phoneticPr fontId="1" type="noConversion"/>
  </si>
  <si>
    <t>75*22+250*4</t>
    <phoneticPr fontId="1" type="noConversion"/>
  </si>
  <si>
    <t>ResistFloor</t>
  </si>
  <si>
    <t>1级</t>
  </si>
  <si>
    <t>MineFloor</t>
  </si>
  <si>
    <t>……推敲了一下似乎出问题了……</t>
    <phoneticPr fontId="1" type="noConversion"/>
  </si>
  <si>
    <t>数值·的取舍</t>
    <phoneticPr fontId="1" type="noConversion"/>
  </si>
  <si>
    <t>希望能在较高科技等级的情况下低级炮台依然能派上用场</t>
    <phoneticPr fontId="1" type="noConversion"/>
  </si>
  <si>
    <t>……或者就放弃这部分？</t>
    <phoneticPr fontId="1" type="noConversion"/>
  </si>
  <si>
    <t>也不是不行的样子？从刷新那边限制一下</t>
    <phoneticPr fontId="1" type="noConversion"/>
  </si>
  <si>
    <t>坏了，重量</t>
    <phoneticPr fontId="1" type="noConversion"/>
  </si>
  <si>
    <t>调了一下数值……好像在接受范围内</t>
    <phoneticPr fontId="1" type="noConversion"/>
  </si>
  <si>
    <t>先不加</t>
    <phoneticPr fontId="1" type="noConversion"/>
  </si>
  <si>
    <t>先这样）</t>
    <phoneticPr fontId="1" type="noConversion"/>
  </si>
  <si>
    <t>最后想方设法把稳态变成了1t6层（3*6=18）毕竟要20层那么高……</t>
    <phoneticPr fontId="1" type="noConversion"/>
  </si>
  <si>
    <t>数据量太大了，玩起来很累）</t>
    <phoneticPr fontId="1" type="noConversion"/>
  </si>
  <si>
    <t>但少了的话就太看运气了（）</t>
    <phoneticPr fontId="1" type="noConversion"/>
  </si>
  <si>
    <t>单层价值</t>
    <phoneticPr fontId="1" type="noConversion"/>
  </si>
  <si>
    <t>（回本）</t>
    <phoneticPr fontId="1" type="noConversion"/>
  </si>
  <si>
    <t>先</t>
    <phoneticPr fontId="1" type="noConversion"/>
  </si>
  <si>
    <t>能玩</t>
    <phoneticPr fontId="1" type="noConversion"/>
  </si>
  <si>
    <t>？</t>
    <phoneticPr fontId="1" type="noConversion"/>
  </si>
  <si>
    <t>RageFloor</t>
  </si>
  <si>
    <t>CoincidenceFloor</t>
  </si>
  <si>
    <t>HealFloor</t>
  </si>
  <si>
    <t>AimContainFloor</t>
  </si>
  <si>
    <t>DieFloor</t>
  </si>
  <si>
    <t>LockFloor</t>
  </si>
  <si>
    <t>MaxHealthFloor</t>
  </si>
  <si>
    <t>AttackAboveFloor</t>
  </si>
  <si>
    <t>WeakFloor</t>
    <phoneticPr fontId="1" type="noConversion"/>
  </si>
  <si>
    <t>AimWeakFloor</t>
    <phoneticPr fontId="1" type="noConversion"/>
  </si>
  <si>
    <t>精良宽容</t>
  </si>
  <si>
    <t>炮台-9</t>
  </si>
  <si>
    <t>更大的矿工上限！</t>
  </si>
  <si>
    <t>传说宽容</t>
  </si>
  <si>
    <t>比更大还大的矿工上限！</t>
    <phoneticPr fontId="1" type="noConversion"/>
  </si>
  <si>
    <t>精良傲慢</t>
  </si>
  <si>
    <t>炮台-14</t>
  </si>
  <si>
    <t>无法行动，但是特别扎实！</t>
  </si>
  <si>
    <t>传说傲慢</t>
  </si>
  <si>
    <t>无法行动，而且更加扎实！</t>
  </si>
  <si>
    <t>这部分有点匆忙了……没办法（）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</si>
</sst>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CCCCCC"/>
      <name val="Consolas"/>
      <family val="3"/>
    </font>
    <font>
      <b/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58" fontId="0" fillId="0" borderId="0" xfId="0" applyNumberFormat="1">
      <alignment vertical="center"/>
    </xf>
    <xf numFmtId="0" fontId="6" fillId="0" borderId="0" xfId="0" applyFont="1" applyAlignment="1">
      <alignment horizontal="center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科技等级</a:t>
            </a:r>
            <a:r>
              <a:rPr lang="en-US" altLang="zh-CN"/>
              <a:t>-</a:t>
            </a:r>
            <a:r>
              <a:rPr lang="zh-CN" altLang="en-US"/>
              <a:t>产能拟合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cat>
            <c:numRef>
              <c:f>Sheet1!$E$48:$E$53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Sheet1!$F$48:$F$53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E-4531-9266-A617DF445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616320"/>
        <c:axId val="883616800"/>
      </c:lineChart>
      <c:catAx>
        <c:axId val="8836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3616800"/>
        <c:crosses val="autoZero"/>
        <c:auto val="1"/>
        <c:lblAlgn val="ctr"/>
        <c:lblOffset val="100"/>
        <c:noMultiLvlLbl val="0"/>
      </c:catAx>
      <c:valAx>
        <c:axId val="8836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361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54</xdr:row>
      <xdr:rowOff>68580</xdr:rowOff>
    </xdr:from>
    <xdr:to>
      <xdr:col>9</xdr:col>
      <xdr:colOff>114300</xdr:colOff>
      <xdr:row>70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7A0591-69B9-986B-3CBD-611F079E7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1D7E-FD79-489D-BF5D-5A654F82CBF7}">
  <dimension ref="A1:V146"/>
  <sheetViews>
    <sheetView tabSelected="1" topLeftCell="A121" zoomScaleNormal="100" workbookViewId="0">
      <selection activeCell="A147" sqref="A147"/>
    </sheetView>
  </sheetViews>
  <sheetFormatPr defaultRowHeight="13.8"/>
  <cols>
    <col min="4" max="4" width="9.109375" bestFit="1" customWidth="1"/>
    <col min="8" max="8" width="8.88671875" customWidth="1"/>
    <col min="13" max="13" width="9.109375" bestFit="1" customWidth="1"/>
    <col min="14" max="14" width="9.44140625" bestFit="1" customWidth="1"/>
    <col min="15" max="15" width="11" customWidth="1"/>
  </cols>
  <sheetData>
    <row r="1" spans="2:14" ht="15.6">
      <c r="E1" s="2" t="s">
        <v>0</v>
      </c>
    </row>
    <row r="2" spans="2:14">
      <c r="E2" t="s">
        <v>1</v>
      </c>
      <c r="F2">
        <v>5</v>
      </c>
    </row>
    <row r="3" spans="2:14">
      <c r="E3" t="s">
        <v>49</v>
      </c>
      <c r="F3">
        <v>2</v>
      </c>
      <c r="G3" t="s">
        <v>19</v>
      </c>
    </row>
    <row r="4" spans="2:14">
      <c r="E4" t="s">
        <v>2</v>
      </c>
      <c r="F4">
        <v>100</v>
      </c>
    </row>
    <row r="5" spans="2:14">
      <c r="E5" t="s">
        <v>3</v>
      </c>
      <c r="F5">
        <v>10</v>
      </c>
    </row>
    <row r="7" spans="2:14" ht="15.6">
      <c r="E7" s="2" t="s">
        <v>48</v>
      </c>
      <c r="I7" t="s">
        <v>17</v>
      </c>
    </row>
    <row r="8" spans="2:14">
      <c r="E8" t="s">
        <v>5</v>
      </c>
      <c r="F8" t="s">
        <v>6</v>
      </c>
      <c r="G8" t="s">
        <v>16</v>
      </c>
      <c r="I8" t="s">
        <v>18</v>
      </c>
    </row>
    <row r="9" spans="2:14">
      <c r="E9">
        <v>1</v>
      </c>
      <c r="F9">
        <v>10</v>
      </c>
      <c r="G9">
        <v>1.8</v>
      </c>
      <c r="I9">
        <v>10</v>
      </c>
    </row>
    <row r="10" spans="2:14">
      <c r="E10">
        <v>2</v>
      </c>
      <c r="F10">
        <v>15</v>
      </c>
      <c r="G10">
        <v>1.4</v>
      </c>
      <c r="I10">
        <v>30</v>
      </c>
    </row>
    <row r="11" spans="2:14">
      <c r="B11" s="1"/>
      <c r="E11">
        <v>3</v>
      </c>
      <c r="F11">
        <v>20</v>
      </c>
      <c r="G11">
        <v>1.2</v>
      </c>
      <c r="I11">
        <v>70</v>
      </c>
    </row>
    <row r="12" spans="2:14">
      <c r="E12">
        <v>4</v>
      </c>
      <c r="F12">
        <v>30</v>
      </c>
      <c r="G12">
        <v>1.1000000000000001</v>
      </c>
      <c r="I12">
        <v>100</v>
      </c>
    </row>
    <row r="13" spans="2:14">
      <c r="E13">
        <v>5</v>
      </c>
      <c r="F13">
        <v>40</v>
      </c>
      <c r="G13">
        <v>1.05</v>
      </c>
      <c r="I13">
        <v>150</v>
      </c>
    </row>
    <row r="14" spans="2:14">
      <c r="E14">
        <v>6</v>
      </c>
      <c r="F14">
        <v>55</v>
      </c>
      <c r="G14">
        <v>1</v>
      </c>
      <c r="I14">
        <v>250</v>
      </c>
    </row>
    <row r="15" spans="2:14">
      <c r="I15" t="s">
        <v>102</v>
      </c>
      <c r="N15" s="6"/>
    </row>
    <row r="16" spans="2:14" ht="15.6">
      <c r="E16" s="2" t="s">
        <v>14</v>
      </c>
    </row>
    <row r="17" spans="1:18">
      <c r="B17" t="s">
        <v>56</v>
      </c>
      <c r="C17" t="s">
        <v>57</v>
      </c>
      <c r="E17" t="s">
        <v>4</v>
      </c>
      <c r="F17" t="s">
        <v>7</v>
      </c>
      <c r="G17" t="s">
        <v>8</v>
      </c>
      <c r="H17" t="s">
        <v>9</v>
      </c>
      <c r="I17" t="s">
        <v>10</v>
      </c>
      <c r="J17" t="s">
        <v>11</v>
      </c>
      <c r="L17" t="s">
        <v>15</v>
      </c>
    </row>
    <row r="18" spans="1:18">
      <c r="B18">
        <v>10</v>
      </c>
      <c r="C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8">
      <c r="B19">
        <v>9</v>
      </c>
      <c r="C19">
        <v>1</v>
      </c>
      <c r="E19">
        <v>2</v>
      </c>
      <c r="F19">
        <v>0.7</v>
      </c>
      <c r="G19">
        <v>0.1</v>
      </c>
      <c r="H19">
        <v>0.2</v>
      </c>
      <c r="I19">
        <v>0</v>
      </c>
      <c r="J19">
        <v>0</v>
      </c>
      <c r="L19" t="s">
        <v>58</v>
      </c>
    </row>
    <row r="20" spans="1:18">
      <c r="B20">
        <v>8</v>
      </c>
      <c r="C20">
        <v>2</v>
      </c>
      <c r="E20">
        <v>3</v>
      </c>
      <c r="F20">
        <v>0.4</v>
      </c>
      <c r="G20">
        <v>0.2</v>
      </c>
      <c r="H20">
        <v>0.4</v>
      </c>
      <c r="I20">
        <v>0</v>
      </c>
      <c r="J20">
        <v>0</v>
      </c>
      <c r="O20" t="s">
        <v>59</v>
      </c>
    </row>
    <row r="21" spans="1:18">
      <c r="B21">
        <v>7</v>
      </c>
      <c r="C21">
        <v>3</v>
      </c>
      <c r="E21">
        <v>4</v>
      </c>
      <c r="F21">
        <v>0.1</v>
      </c>
      <c r="G21">
        <v>0.2</v>
      </c>
      <c r="H21">
        <v>0.4</v>
      </c>
      <c r="I21">
        <v>0.1</v>
      </c>
      <c r="J21">
        <v>0.2</v>
      </c>
      <c r="L21" t="s">
        <v>20</v>
      </c>
    </row>
    <row r="22" spans="1:18">
      <c r="B22">
        <v>6</v>
      </c>
      <c r="C22">
        <v>4</v>
      </c>
      <c r="E22">
        <v>5</v>
      </c>
      <c r="F22">
        <v>0.05</v>
      </c>
      <c r="G22">
        <v>0.15</v>
      </c>
      <c r="H22">
        <v>0.2</v>
      </c>
      <c r="I22">
        <v>0.25</v>
      </c>
      <c r="J22">
        <v>0.35</v>
      </c>
    </row>
    <row r="23" spans="1:18">
      <c r="B23">
        <v>5</v>
      </c>
      <c r="C23">
        <v>5</v>
      </c>
      <c r="E23">
        <v>6</v>
      </c>
      <c r="F23">
        <v>0</v>
      </c>
      <c r="G23">
        <v>0</v>
      </c>
      <c r="H23">
        <v>0</v>
      </c>
      <c r="I23">
        <v>0.5</v>
      </c>
      <c r="J23">
        <v>0.5</v>
      </c>
      <c r="L23" t="s">
        <v>22</v>
      </c>
    </row>
    <row r="24" spans="1:18">
      <c r="D24" t="s">
        <v>32</v>
      </c>
      <c r="F24">
        <f>(F18*$E18+F19*$E19+F20*$E20+F21*$E21+F22*$E22+F23*$E23)/(F18+F19+F20+F21+F22+F23)</f>
        <v>1.8888888888888888</v>
      </c>
      <c r="G24">
        <f t="shared" ref="G24:J24" si="0">(G18*$E18+G19*$E19+G20*$E20+G21*$E21+G22*$E22+G23*$E23)/(G18+G19+G20+G21+G22+G23)</f>
        <v>3.6153846153846154</v>
      </c>
      <c r="H24">
        <f t="shared" si="0"/>
        <v>3.5000000000000004</v>
      </c>
      <c r="I24">
        <f t="shared" si="0"/>
        <v>5.4705882352941186</v>
      </c>
      <c r="J24">
        <f t="shared" si="0"/>
        <v>5.2857142857142856</v>
      </c>
    </row>
    <row r="25" spans="1:18">
      <c r="E25" t="s">
        <v>55</v>
      </c>
      <c r="F25" s="8">
        <f>7.3654*POWER(2.718281828,0.3392*F24)</f>
        <v>13.978276841474475</v>
      </c>
      <c r="G25" s="8">
        <f t="shared" ref="G25:J25" si="1">7.3654*POWER(2.718281828,0.3392*G24)</f>
        <v>25.106626636137328</v>
      </c>
      <c r="H25" s="8">
        <f t="shared" si="1"/>
        <v>24.142972867131153</v>
      </c>
      <c r="I25" s="8">
        <f t="shared" si="1"/>
        <v>47.1067775862955</v>
      </c>
      <c r="J25" s="8">
        <f t="shared" si="1"/>
        <v>44.24346357755374</v>
      </c>
      <c r="L25" s="6" t="s">
        <v>34</v>
      </c>
    </row>
    <row r="26" spans="1:18">
      <c r="F26">
        <v>14</v>
      </c>
      <c r="G26">
        <v>25.1</v>
      </c>
      <c r="H26">
        <v>24.1</v>
      </c>
      <c r="I26">
        <v>47.1</v>
      </c>
      <c r="J26">
        <v>44.2</v>
      </c>
    </row>
    <row r="27" spans="1:18">
      <c r="B27" t="s">
        <v>74</v>
      </c>
      <c r="D27" s="3" t="s">
        <v>73</v>
      </c>
      <c r="E27" t="s">
        <v>72</v>
      </c>
      <c r="F27">
        <v>8</v>
      </c>
      <c r="G27">
        <v>14</v>
      </c>
      <c r="H27">
        <v>16</v>
      </c>
      <c r="I27">
        <v>33</v>
      </c>
      <c r="J27">
        <v>36</v>
      </c>
      <c r="L27" t="s">
        <v>60</v>
      </c>
      <c r="M27" t="s">
        <v>50</v>
      </c>
      <c r="P27" t="s">
        <v>81</v>
      </c>
    </row>
    <row r="28" spans="1:18">
      <c r="A28" t="s">
        <v>75</v>
      </c>
      <c r="E28" t="s">
        <v>13</v>
      </c>
      <c r="F28">
        <f>F27*(9-F24)/10</f>
        <v>5.6888888888888882</v>
      </c>
      <c r="G28">
        <v>14</v>
      </c>
      <c r="H28">
        <f>H27*(9-H24)/10</f>
        <v>8.8000000000000007</v>
      </c>
      <c r="I28">
        <v>33</v>
      </c>
      <c r="J28">
        <f>J27*(9-J24)/10</f>
        <v>13.371428571428572</v>
      </c>
    </row>
    <row r="29" spans="1:18">
      <c r="A29" t="s">
        <v>76</v>
      </c>
      <c r="E29" t="s">
        <v>63</v>
      </c>
      <c r="F29">
        <f>4/7*F25*F27</f>
        <v>63.900694132454738</v>
      </c>
      <c r="G29">
        <f>4/7*G25*G27</f>
        <v>200.85301308909862</v>
      </c>
      <c r="H29">
        <f>4/7*H25*H27</f>
        <v>220.73575192805623</v>
      </c>
      <c r="I29">
        <f>4/7*I25*I27</f>
        <v>888.29923448442946</v>
      </c>
      <c r="J29">
        <f>4/7*J25*J27</f>
        <v>910.15125073824834</v>
      </c>
      <c r="Q29" t="s">
        <v>103</v>
      </c>
    </row>
    <row r="30" spans="1:18">
      <c r="A30" t="s">
        <v>77</v>
      </c>
      <c r="F30">
        <v>50</v>
      </c>
      <c r="G30">
        <v>200</v>
      </c>
      <c r="H30">
        <v>210</v>
      </c>
      <c r="I30">
        <v>890</v>
      </c>
      <c r="J30">
        <v>910</v>
      </c>
    </row>
    <row r="31" spans="1:18" ht="15.6">
      <c r="A31" t="s">
        <v>78</v>
      </c>
      <c r="E31" s="2" t="s">
        <v>21</v>
      </c>
      <c r="L31" t="s">
        <v>106</v>
      </c>
      <c r="M31" t="s">
        <v>54</v>
      </c>
      <c r="R31" t="s">
        <v>104</v>
      </c>
    </row>
    <row r="32" spans="1:18">
      <c r="A32" t="s">
        <v>79</v>
      </c>
      <c r="F32" t="s">
        <v>12</v>
      </c>
      <c r="L32" t="s">
        <v>107</v>
      </c>
    </row>
    <row r="33" spans="1:18">
      <c r="A33" t="s">
        <v>80</v>
      </c>
      <c r="M33" t="s">
        <v>25</v>
      </c>
      <c r="N33" t="s">
        <v>27</v>
      </c>
      <c r="O33" t="s">
        <v>29</v>
      </c>
      <c r="R33" t="s">
        <v>105</v>
      </c>
    </row>
    <row r="34" spans="1:18">
      <c r="F34" t="s">
        <v>33</v>
      </c>
      <c r="L34" s="5" t="s">
        <v>23</v>
      </c>
      <c r="M34">
        <v>1</v>
      </c>
      <c r="N34">
        <f>L51</f>
        <v>100</v>
      </c>
      <c r="O34">
        <v>30</v>
      </c>
    </row>
    <row r="35" spans="1:18">
      <c r="L35" s="5"/>
      <c r="M35">
        <v>2</v>
      </c>
      <c r="N35">
        <f>L51</f>
        <v>100</v>
      </c>
    </row>
    <row r="36" spans="1:18">
      <c r="F36" t="s">
        <v>42</v>
      </c>
      <c r="L36" s="5"/>
      <c r="M36">
        <v>3</v>
      </c>
      <c r="N36">
        <f>L51+$O$34</f>
        <v>130</v>
      </c>
    </row>
    <row r="37" spans="1:18">
      <c r="L37" s="5" t="s">
        <v>24</v>
      </c>
      <c r="M37">
        <v>4</v>
      </c>
      <c r="N37">
        <f>N34+L$51+$O$34*(M37-2)</f>
        <v>260</v>
      </c>
    </row>
    <row r="38" spans="1:18">
      <c r="L38" s="5"/>
      <c r="M38">
        <v>5</v>
      </c>
      <c r="N38">
        <f t="shared" ref="N38:N48" si="2">N35+L$51+$O$34*(M38-2)</f>
        <v>290</v>
      </c>
    </row>
    <row r="39" spans="1:18">
      <c r="L39" s="5"/>
      <c r="M39">
        <v>6</v>
      </c>
      <c r="N39">
        <f t="shared" si="2"/>
        <v>350</v>
      </c>
    </row>
    <row r="40" spans="1:18">
      <c r="L40" s="5" t="s">
        <v>26</v>
      </c>
      <c r="M40">
        <v>7</v>
      </c>
      <c r="N40">
        <f t="shared" si="2"/>
        <v>510</v>
      </c>
    </row>
    <row r="41" spans="1:18">
      <c r="L41" s="5"/>
      <c r="M41">
        <v>8</v>
      </c>
      <c r="N41">
        <f t="shared" si="2"/>
        <v>570</v>
      </c>
    </row>
    <row r="42" spans="1:18">
      <c r="L42" s="5"/>
      <c r="M42">
        <v>9</v>
      </c>
      <c r="N42">
        <f t="shared" si="2"/>
        <v>660</v>
      </c>
    </row>
    <row r="43" spans="1:18" ht="15.6">
      <c r="E43" s="2" t="s">
        <v>53</v>
      </c>
      <c r="L43" s="5" t="s">
        <v>41</v>
      </c>
      <c r="M43">
        <v>10</v>
      </c>
      <c r="N43">
        <f t="shared" si="2"/>
        <v>850</v>
      </c>
      <c r="P43" s="7"/>
    </row>
    <row r="44" spans="1:18">
      <c r="L44" s="5"/>
      <c r="M44">
        <v>11</v>
      </c>
      <c r="N44">
        <f t="shared" si="2"/>
        <v>940</v>
      </c>
    </row>
    <row r="45" spans="1:18">
      <c r="E45" t="s">
        <v>51</v>
      </c>
      <c r="F45">
        <v>100</v>
      </c>
      <c r="L45" s="5"/>
      <c r="M45">
        <v>12</v>
      </c>
      <c r="N45">
        <f t="shared" si="2"/>
        <v>1060</v>
      </c>
      <c r="O45" t="s">
        <v>30</v>
      </c>
    </row>
    <row r="46" spans="1:18">
      <c r="E46" t="s">
        <v>52</v>
      </c>
      <c r="F46">
        <v>5</v>
      </c>
      <c r="L46" s="5" t="s">
        <v>43</v>
      </c>
      <c r="M46">
        <v>13</v>
      </c>
      <c r="N46">
        <f t="shared" si="2"/>
        <v>1280</v>
      </c>
      <c r="O46">
        <v>1200</v>
      </c>
    </row>
    <row r="47" spans="1:18">
      <c r="E47" t="s">
        <v>5</v>
      </c>
      <c r="F47" t="s">
        <v>6</v>
      </c>
      <c r="M47">
        <v>14</v>
      </c>
      <c r="N47">
        <f t="shared" si="2"/>
        <v>1400</v>
      </c>
    </row>
    <row r="48" spans="1:18">
      <c r="E48">
        <v>1</v>
      </c>
      <c r="F48">
        <v>10</v>
      </c>
      <c r="M48">
        <v>15</v>
      </c>
      <c r="N48">
        <f t="shared" si="2"/>
        <v>1550</v>
      </c>
    </row>
    <row r="49" spans="5:22">
      <c r="E49">
        <v>2</v>
      </c>
      <c r="F49">
        <v>15</v>
      </c>
    </row>
    <row r="50" spans="5:22">
      <c r="E50">
        <v>3</v>
      </c>
      <c r="F50">
        <v>20</v>
      </c>
      <c r="K50" t="s">
        <v>31</v>
      </c>
      <c r="L50" t="s">
        <v>28</v>
      </c>
      <c r="M50" t="s">
        <v>29</v>
      </c>
      <c r="N50" t="s">
        <v>30</v>
      </c>
      <c r="O50" t="s">
        <v>87</v>
      </c>
      <c r="Q50" t="s">
        <v>88</v>
      </c>
    </row>
    <row r="51" spans="5:22">
      <c r="E51">
        <v>4</v>
      </c>
      <c r="F51">
        <v>30</v>
      </c>
      <c r="K51" t="s">
        <v>36</v>
      </c>
      <c r="L51">
        <v>100</v>
      </c>
      <c r="M51">
        <f>O34</f>
        <v>30</v>
      </c>
      <c r="N51">
        <f>O46</f>
        <v>1200</v>
      </c>
      <c r="O51">
        <v>1060</v>
      </c>
      <c r="P51" t="s">
        <v>47</v>
      </c>
      <c r="Q51">
        <v>1280</v>
      </c>
    </row>
    <row r="52" spans="5:22">
      <c r="E52">
        <v>5</v>
      </c>
      <c r="F52">
        <v>40</v>
      </c>
    </row>
    <row r="53" spans="5:22">
      <c r="E53">
        <v>6</v>
      </c>
      <c r="F53">
        <v>55</v>
      </c>
      <c r="K53" t="s">
        <v>35</v>
      </c>
      <c r="L53" t="s">
        <v>37</v>
      </c>
      <c r="P53" t="s">
        <v>61</v>
      </c>
    </row>
    <row r="55" spans="5:22">
      <c r="L55" t="s">
        <v>25</v>
      </c>
      <c r="M55" t="s">
        <v>27</v>
      </c>
      <c r="N55" t="s">
        <v>38</v>
      </c>
      <c r="T55" t="s">
        <v>25</v>
      </c>
      <c r="U55" t="s">
        <v>27</v>
      </c>
      <c r="V55" t="s">
        <v>29</v>
      </c>
    </row>
    <row r="56" spans="5:22">
      <c r="K56" s="5" t="s">
        <v>23</v>
      </c>
      <c r="L56">
        <v>1</v>
      </c>
      <c r="M56">
        <f>N56</f>
        <v>250</v>
      </c>
      <c r="N56">
        <v>250</v>
      </c>
      <c r="S56" s="5" t="s">
        <v>23</v>
      </c>
      <c r="T56">
        <v>1</v>
      </c>
      <c r="U56">
        <f>L51</f>
        <v>100</v>
      </c>
      <c r="V56">
        <f>M71</f>
        <v>75</v>
      </c>
    </row>
    <row r="57" spans="5:22">
      <c r="K57" s="5"/>
      <c r="L57">
        <v>2</v>
      </c>
      <c r="M57">
        <f>N56</f>
        <v>250</v>
      </c>
      <c r="S57" s="5"/>
      <c r="T57">
        <v>2</v>
      </c>
      <c r="U57">
        <f>L51</f>
        <v>100</v>
      </c>
    </row>
    <row r="58" spans="5:22">
      <c r="K58" s="5"/>
      <c r="L58">
        <v>3</v>
      </c>
      <c r="M58">
        <f>N56+$O$34</f>
        <v>280</v>
      </c>
      <c r="S58" s="5"/>
      <c r="T58">
        <v>3</v>
      </c>
      <c r="U58">
        <f>L51+V56</f>
        <v>175</v>
      </c>
    </row>
    <row r="59" spans="5:22">
      <c r="K59" s="5" t="s">
        <v>24</v>
      </c>
      <c r="L59">
        <v>4</v>
      </c>
      <c r="M59">
        <f>M56+N$56+$M$51*(L59-2)</f>
        <v>560</v>
      </c>
      <c r="S59" s="5" t="s">
        <v>24</v>
      </c>
      <c r="T59">
        <v>4</v>
      </c>
      <c r="U59">
        <f t="shared" ref="U59:U73" si="3">U56+L$51+V$56*(T59-2)</f>
        <v>350</v>
      </c>
    </row>
    <row r="60" spans="5:22">
      <c r="F60" s="4"/>
      <c r="K60" s="5"/>
      <c r="L60">
        <v>5</v>
      </c>
      <c r="M60">
        <f t="shared" ref="M60:M67" si="4">M57+N$56+$M$51*(L60-2)</f>
        <v>590</v>
      </c>
      <c r="S60" s="5"/>
      <c r="T60">
        <v>5</v>
      </c>
      <c r="U60">
        <f t="shared" si="3"/>
        <v>425</v>
      </c>
    </row>
    <row r="61" spans="5:22">
      <c r="K61" s="5"/>
      <c r="L61">
        <v>6</v>
      </c>
      <c r="M61">
        <f>M58+N$56+$M$51*(L61-2)</f>
        <v>650</v>
      </c>
      <c r="S61" s="5"/>
      <c r="T61">
        <v>6</v>
      </c>
      <c r="U61">
        <f t="shared" si="3"/>
        <v>575</v>
      </c>
    </row>
    <row r="62" spans="5:22">
      <c r="K62" s="5" t="s">
        <v>26</v>
      </c>
      <c r="L62">
        <v>7</v>
      </c>
      <c r="M62">
        <f t="shared" si="4"/>
        <v>960</v>
      </c>
      <c r="O62" s="7"/>
      <c r="S62" s="5" t="s">
        <v>26</v>
      </c>
      <c r="T62">
        <v>7</v>
      </c>
      <c r="U62">
        <f t="shared" si="3"/>
        <v>825</v>
      </c>
    </row>
    <row r="63" spans="5:22">
      <c r="K63" s="5"/>
      <c r="L63">
        <v>8</v>
      </c>
      <c r="M63">
        <f t="shared" si="4"/>
        <v>1020</v>
      </c>
      <c r="S63" s="5"/>
      <c r="T63">
        <v>8</v>
      </c>
      <c r="U63">
        <f t="shared" si="3"/>
        <v>975</v>
      </c>
    </row>
    <row r="64" spans="5:22">
      <c r="K64" s="5"/>
      <c r="L64">
        <v>9</v>
      </c>
      <c r="M64">
        <f t="shared" si="4"/>
        <v>1110</v>
      </c>
      <c r="N64" t="s">
        <v>30</v>
      </c>
      <c r="P64" s="3"/>
      <c r="S64" s="5"/>
      <c r="T64">
        <v>9</v>
      </c>
      <c r="U64">
        <f t="shared" si="3"/>
        <v>1200</v>
      </c>
    </row>
    <row r="65" spans="2:22">
      <c r="K65" s="5" t="s">
        <v>41</v>
      </c>
      <c r="L65">
        <v>10</v>
      </c>
      <c r="M65">
        <f t="shared" si="4"/>
        <v>1450</v>
      </c>
      <c r="N65">
        <v>1200</v>
      </c>
      <c r="S65" s="5" t="s">
        <v>41</v>
      </c>
      <c r="T65">
        <v>10</v>
      </c>
      <c r="U65">
        <f t="shared" si="3"/>
        <v>1525</v>
      </c>
    </row>
    <row r="66" spans="2:22">
      <c r="L66">
        <v>11</v>
      </c>
      <c r="M66">
        <f t="shared" si="4"/>
        <v>1540</v>
      </c>
      <c r="S66" s="5"/>
      <c r="T66">
        <v>11</v>
      </c>
      <c r="U66">
        <f t="shared" si="3"/>
        <v>1750</v>
      </c>
    </row>
    <row r="67" spans="2:22">
      <c r="L67">
        <v>12</v>
      </c>
      <c r="M67">
        <f t="shared" si="4"/>
        <v>1660</v>
      </c>
      <c r="S67" s="5"/>
      <c r="T67">
        <v>12</v>
      </c>
      <c r="U67">
        <f t="shared" si="3"/>
        <v>2050</v>
      </c>
    </row>
    <row r="68" spans="2:22">
      <c r="S68" s="5" t="s">
        <v>45</v>
      </c>
      <c r="T68">
        <v>13</v>
      </c>
      <c r="U68">
        <f t="shared" si="3"/>
        <v>2450</v>
      </c>
    </row>
    <row r="69" spans="2:22">
      <c r="T69">
        <v>14</v>
      </c>
      <c r="U69">
        <f t="shared" si="3"/>
        <v>2750</v>
      </c>
    </row>
    <row r="70" spans="2:22">
      <c r="K70" t="s">
        <v>31</v>
      </c>
      <c r="L70" t="s">
        <v>38</v>
      </c>
      <c r="M70" t="s">
        <v>29</v>
      </c>
      <c r="N70" t="s">
        <v>30</v>
      </c>
      <c r="O70" t="s">
        <v>90</v>
      </c>
      <c r="P70" s="3"/>
      <c r="Q70" t="s">
        <v>89</v>
      </c>
      <c r="T70">
        <v>15</v>
      </c>
      <c r="U70">
        <f t="shared" si="3"/>
        <v>3125</v>
      </c>
      <c r="V70" t="s">
        <v>30</v>
      </c>
    </row>
    <row r="71" spans="2:22">
      <c r="B71" t="s">
        <v>82</v>
      </c>
      <c r="K71" t="s">
        <v>39</v>
      </c>
      <c r="L71">
        <f>N56</f>
        <v>250</v>
      </c>
      <c r="M71">
        <f>M51*N56/L51</f>
        <v>75</v>
      </c>
      <c r="N71">
        <v>3100</v>
      </c>
      <c r="O71">
        <v>2650</v>
      </c>
      <c r="P71" t="s">
        <v>47</v>
      </c>
      <c r="Q71">
        <v>3200</v>
      </c>
      <c r="S71" s="5" t="s">
        <v>46</v>
      </c>
      <c r="T71">
        <v>16</v>
      </c>
      <c r="U71">
        <f t="shared" si="3"/>
        <v>3600</v>
      </c>
      <c r="V71">
        <v>3100</v>
      </c>
    </row>
    <row r="72" spans="2:22">
      <c r="B72" t="s">
        <v>31</v>
      </c>
      <c r="C72" t="s">
        <v>65</v>
      </c>
      <c r="D72" t="s">
        <v>64</v>
      </c>
      <c r="E72" t="s">
        <v>66</v>
      </c>
      <c r="F72" t="s">
        <v>67</v>
      </c>
      <c r="G72" t="s">
        <v>68</v>
      </c>
      <c r="H72" t="s">
        <v>69</v>
      </c>
      <c r="I72" t="s">
        <v>62</v>
      </c>
      <c r="T72">
        <v>17</v>
      </c>
      <c r="U72">
        <f t="shared" si="3"/>
        <v>3975</v>
      </c>
    </row>
    <row r="73" spans="2:22">
      <c r="B73" t="s">
        <v>36</v>
      </c>
      <c r="C73">
        <f>L51</f>
        <v>100</v>
      </c>
      <c r="D73">
        <v>2</v>
      </c>
      <c r="E73">
        <f>N51</f>
        <v>1200</v>
      </c>
      <c r="F73">
        <f>M51</f>
        <v>30</v>
      </c>
      <c r="G73">
        <v>1</v>
      </c>
      <c r="H73">
        <v>6</v>
      </c>
      <c r="I73">
        <v>50</v>
      </c>
      <c r="L73" t="s">
        <v>25</v>
      </c>
      <c r="M73" t="s">
        <v>27</v>
      </c>
      <c r="N73" t="s">
        <v>38</v>
      </c>
      <c r="T73">
        <v>18</v>
      </c>
      <c r="U73">
        <f t="shared" si="3"/>
        <v>4425</v>
      </c>
    </row>
    <row r="74" spans="2:22">
      <c r="B74" t="s">
        <v>70</v>
      </c>
      <c r="C74">
        <v>250</v>
      </c>
      <c r="D74">
        <v>0</v>
      </c>
      <c r="E74">
        <v>3100</v>
      </c>
      <c r="F74">
        <v>75</v>
      </c>
      <c r="G74">
        <v>2</v>
      </c>
      <c r="H74">
        <v>14</v>
      </c>
      <c r="I74">
        <v>200</v>
      </c>
      <c r="K74" s="5" t="s">
        <v>23</v>
      </c>
      <c r="L74">
        <v>1</v>
      </c>
      <c r="M74">
        <f>N74</f>
        <v>600</v>
      </c>
      <c r="N74">
        <v>600</v>
      </c>
    </row>
    <row r="75" spans="2:22">
      <c r="B75" t="s">
        <v>39</v>
      </c>
      <c r="C75">
        <f>L71</f>
        <v>250</v>
      </c>
      <c r="D75">
        <v>4</v>
      </c>
      <c r="E75">
        <f>N71</f>
        <v>3100</v>
      </c>
      <c r="F75">
        <f>M71</f>
        <v>75</v>
      </c>
      <c r="G75">
        <v>3</v>
      </c>
      <c r="H75">
        <v>9</v>
      </c>
      <c r="I75">
        <v>205</v>
      </c>
      <c r="K75" s="5"/>
      <c r="L75">
        <v>2</v>
      </c>
      <c r="M75">
        <f>N74</f>
        <v>600</v>
      </c>
      <c r="P75" s="3"/>
      <c r="T75" t="s">
        <v>25</v>
      </c>
      <c r="U75" t="s">
        <v>27</v>
      </c>
      <c r="V75" t="s">
        <v>29</v>
      </c>
    </row>
    <row r="76" spans="2:22">
      <c r="B76" t="s">
        <v>71</v>
      </c>
      <c r="C76">
        <v>600</v>
      </c>
      <c r="D76">
        <v>0</v>
      </c>
      <c r="E76">
        <v>7500</v>
      </c>
      <c r="F76">
        <v>180</v>
      </c>
      <c r="G76">
        <v>4</v>
      </c>
      <c r="H76">
        <v>33</v>
      </c>
      <c r="I76">
        <v>890</v>
      </c>
      <c r="K76" s="5"/>
      <c r="L76">
        <v>3</v>
      </c>
      <c r="M76">
        <f>N74+M$71</f>
        <v>675</v>
      </c>
      <c r="S76" s="5" t="s">
        <v>23</v>
      </c>
      <c r="T76">
        <v>1</v>
      </c>
      <c r="U76">
        <f>L71</f>
        <v>250</v>
      </c>
      <c r="V76">
        <f>M91</f>
        <v>180</v>
      </c>
    </row>
    <row r="77" spans="2:22">
      <c r="B77" t="s">
        <v>40</v>
      </c>
      <c r="C77">
        <f>L91</f>
        <v>600</v>
      </c>
      <c r="D77">
        <v>9</v>
      </c>
      <c r="E77">
        <f>N91</f>
        <v>7500</v>
      </c>
      <c r="F77">
        <f>M91</f>
        <v>180</v>
      </c>
      <c r="G77">
        <v>5</v>
      </c>
      <c r="H77">
        <v>14</v>
      </c>
      <c r="I77">
        <v>910</v>
      </c>
      <c r="K77" s="5" t="s">
        <v>24</v>
      </c>
      <c r="L77">
        <v>4</v>
      </c>
      <c r="M77">
        <f>M74+N$74+M$71*(L77-2)</f>
        <v>1350</v>
      </c>
      <c r="S77" s="5"/>
      <c r="T77">
        <v>2</v>
      </c>
      <c r="U77">
        <f>L71</f>
        <v>250</v>
      </c>
    </row>
    <row r="78" spans="2:22">
      <c r="K78" s="5"/>
      <c r="L78">
        <v>5</v>
      </c>
      <c r="M78">
        <f t="shared" ref="M78:M88" si="5">M75+N$74+M$71*(L78-2)</f>
        <v>1425</v>
      </c>
      <c r="S78" s="5"/>
      <c r="T78">
        <v>3</v>
      </c>
      <c r="U78">
        <f>L71+V76</f>
        <v>430</v>
      </c>
    </row>
    <row r="79" spans="2:22">
      <c r="K79" s="5"/>
      <c r="L79">
        <v>6</v>
      </c>
      <c r="M79">
        <f t="shared" si="5"/>
        <v>1575</v>
      </c>
      <c r="S79" s="5" t="s">
        <v>24</v>
      </c>
      <c r="T79">
        <v>4</v>
      </c>
      <c r="U79">
        <f>U76+L$51+V$76*(T79-2)</f>
        <v>710</v>
      </c>
    </row>
    <row r="80" spans="2:22">
      <c r="K80" s="5" t="s">
        <v>26</v>
      </c>
      <c r="L80">
        <v>7</v>
      </c>
      <c r="M80">
        <f t="shared" si="5"/>
        <v>2325</v>
      </c>
      <c r="S80" s="5"/>
      <c r="T80">
        <v>5</v>
      </c>
      <c r="U80">
        <f t="shared" ref="U80:U93" si="6">U77+L$51+V$76*(T80-2)</f>
        <v>890</v>
      </c>
    </row>
    <row r="81" spans="2:22">
      <c r="B81" t="s">
        <v>83</v>
      </c>
      <c r="D81" t="s">
        <v>86</v>
      </c>
      <c r="K81" s="5"/>
      <c r="L81">
        <v>8</v>
      </c>
      <c r="M81">
        <f t="shared" si="5"/>
        <v>2475</v>
      </c>
      <c r="P81" s="3"/>
      <c r="S81" s="5"/>
      <c r="T81">
        <v>6</v>
      </c>
      <c r="U81">
        <f t="shared" si="6"/>
        <v>1250</v>
      </c>
    </row>
    <row r="82" spans="2:22">
      <c r="B82" t="s">
        <v>31</v>
      </c>
      <c r="C82" t="s">
        <v>65</v>
      </c>
      <c r="D82" t="s">
        <v>64</v>
      </c>
      <c r="E82" t="s">
        <v>66</v>
      </c>
      <c r="F82" t="s">
        <v>67</v>
      </c>
      <c r="G82" t="s">
        <v>68</v>
      </c>
      <c r="H82" t="s">
        <v>69</v>
      </c>
      <c r="I82" t="s">
        <v>62</v>
      </c>
      <c r="K82" s="5"/>
      <c r="L82">
        <v>9</v>
      </c>
      <c r="M82">
        <f t="shared" si="5"/>
        <v>2700</v>
      </c>
      <c r="N82" t="s">
        <v>30</v>
      </c>
      <c r="S82" s="5" t="s">
        <v>26</v>
      </c>
      <c r="T82">
        <v>7</v>
      </c>
      <c r="U82">
        <f t="shared" si="6"/>
        <v>1710</v>
      </c>
    </row>
    <row r="83" spans="2:22">
      <c r="B83" t="s">
        <v>84</v>
      </c>
      <c r="C83">
        <v>70</v>
      </c>
      <c r="D83">
        <v>4</v>
      </c>
      <c r="E83">
        <v>4000</v>
      </c>
      <c r="F83">
        <v>100</v>
      </c>
      <c r="G83">
        <v>3</v>
      </c>
      <c r="H83">
        <v>9</v>
      </c>
      <c r="I83">
        <v>205</v>
      </c>
      <c r="K83" s="5" t="s">
        <v>41</v>
      </c>
      <c r="L83">
        <v>10</v>
      </c>
      <c r="M83">
        <f t="shared" si="5"/>
        <v>3525</v>
      </c>
      <c r="N83">
        <v>3100</v>
      </c>
      <c r="S83" s="5"/>
      <c r="T83">
        <v>8</v>
      </c>
      <c r="U83">
        <f t="shared" si="6"/>
        <v>2070</v>
      </c>
    </row>
    <row r="84" spans="2:22">
      <c r="B84" t="s">
        <v>85</v>
      </c>
      <c r="C84">
        <v>170</v>
      </c>
      <c r="D84">
        <v>9</v>
      </c>
      <c r="E84">
        <v>9600</v>
      </c>
      <c r="F84">
        <v>240</v>
      </c>
      <c r="G84">
        <v>5</v>
      </c>
      <c r="H84">
        <v>14</v>
      </c>
      <c r="I84">
        <v>910</v>
      </c>
      <c r="L84">
        <v>11</v>
      </c>
      <c r="M84">
        <f t="shared" si="5"/>
        <v>3750</v>
      </c>
      <c r="S84" s="5"/>
      <c r="T84">
        <v>9</v>
      </c>
      <c r="U84">
        <f t="shared" si="6"/>
        <v>2610</v>
      </c>
    </row>
    <row r="85" spans="2:22">
      <c r="L85">
        <v>12</v>
      </c>
      <c r="M85">
        <f t="shared" si="5"/>
        <v>4050</v>
      </c>
      <c r="S85" s="5" t="s">
        <v>41</v>
      </c>
      <c r="T85">
        <v>10</v>
      </c>
      <c r="U85">
        <f t="shared" si="6"/>
        <v>3250</v>
      </c>
    </row>
    <row r="86" spans="2:22">
      <c r="K86" s="5" t="s">
        <v>43</v>
      </c>
      <c r="L86">
        <v>13</v>
      </c>
      <c r="M86">
        <f t="shared" si="5"/>
        <v>4950</v>
      </c>
      <c r="S86" s="5"/>
      <c r="T86">
        <v>11</v>
      </c>
      <c r="U86">
        <f t="shared" si="6"/>
        <v>3790</v>
      </c>
    </row>
    <row r="87" spans="2:22">
      <c r="B87" t="s">
        <v>93</v>
      </c>
      <c r="L87">
        <v>14</v>
      </c>
      <c r="M87">
        <f t="shared" si="5"/>
        <v>5250</v>
      </c>
      <c r="P87" s="3"/>
      <c r="S87" s="5"/>
      <c r="T87">
        <v>12</v>
      </c>
      <c r="U87">
        <f t="shared" si="6"/>
        <v>4510</v>
      </c>
    </row>
    <row r="88" spans="2:22">
      <c r="B88" t="s">
        <v>31</v>
      </c>
      <c r="C88" t="s">
        <v>65</v>
      </c>
      <c r="D88" t="s">
        <v>64</v>
      </c>
      <c r="E88" t="s">
        <v>66</v>
      </c>
      <c r="F88" t="s">
        <v>67</v>
      </c>
      <c r="G88" t="s">
        <v>68</v>
      </c>
      <c r="H88" t="s">
        <v>69</v>
      </c>
      <c r="I88" t="s">
        <v>62</v>
      </c>
      <c r="L88">
        <v>15</v>
      </c>
      <c r="M88">
        <f t="shared" si="5"/>
        <v>5625</v>
      </c>
      <c r="S88" s="5" t="s">
        <v>45</v>
      </c>
      <c r="T88">
        <v>13</v>
      </c>
      <c r="U88">
        <f t="shared" si="6"/>
        <v>5330</v>
      </c>
    </row>
    <row r="89" spans="2:22">
      <c r="B89" t="s">
        <v>92</v>
      </c>
      <c r="C89">
        <v>0</v>
      </c>
      <c r="D89">
        <v>3</v>
      </c>
      <c r="E89">
        <v>1600</v>
      </c>
      <c r="F89">
        <v>30</v>
      </c>
      <c r="G89">
        <v>1</v>
      </c>
      <c r="H89">
        <v>5</v>
      </c>
      <c r="I89">
        <v>50</v>
      </c>
      <c r="T89">
        <v>14</v>
      </c>
      <c r="U89">
        <f t="shared" si="6"/>
        <v>6050</v>
      </c>
    </row>
    <row r="90" spans="2:22">
      <c r="B90" t="s">
        <v>84</v>
      </c>
      <c r="C90">
        <v>0</v>
      </c>
      <c r="D90">
        <v>6</v>
      </c>
      <c r="E90">
        <v>4000</v>
      </c>
      <c r="F90">
        <v>75</v>
      </c>
      <c r="G90">
        <v>3</v>
      </c>
      <c r="H90">
        <v>8</v>
      </c>
      <c r="I90">
        <v>205</v>
      </c>
      <c r="K90" t="s">
        <v>31</v>
      </c>
      <c r="L90" t="s">
        <v>38</v>
      </c>
      <c r="M90" t="s">
        <v>29</v>
      </c>
      <c r="N90" t="s">
        <v>30</v>
      </c>
      <c r="O90" t="s">
        <v>44</v>
      </c>
      <c r="T90">
        <v>15</v>
      </c>
      <c r="U90">
        <f t="shared" si="6"/>
        <v>6950</v>
      </c>
    </row>
    <row r="91" spans="2:22">
      <c r="B91" t="s">
        <v>85</v>
      </c>
      <c r="C91">
        <v>0</v>
      </c>
      <c r="D91">
        <v>12</v>
      </c>
      <c r="E91">
        <v>10000</v>
      </c>
      <c r="F91">
        <v>180</v>
      </c>
      <c r="G91">
        <v>5</v>
      </c>
      <c r="H91">
        <v>13</v>
      </c>
      <c r="I91">
        <v>910</v>
      </c>
      <c r="K91" t="s">
        <v>40</v>
      </c>
      <c r="L91">
        <f>N74</f>
        <v>600</v>
      </c>
      <c r="M91">
        <f>L91/L71*M71</f>
        <v>180</v>
      </c>
      <c r="N91">
        <v>7500</v>
      </c>
      <c r="O91">
        <v>6950</v>
      </c>
      <c r="P91" t="s">
        <v>47</v>
      </c>
      <c r="Q91">
        <v>7950</v>
      </c>
      <c r="S91" s="5" t="s">
        <v>46</v>
      </c>
      <c r="T91">
        <v>16</v>
      </c>
      <c r="U91">
        <f t="shared" si="6"/>
        <v>7950</v>
      </c>
      <c r="V91">
        <v>7500</v>
      </c>
    </row>
    <row r="92" spans="2:22">
      <c r="T92">
        <v>17</v>
      </c>
      <c r="U92">
        <f t="shared" si="6"/>
        <v>8850</v>
      </c>
    </row>
    <row r="93" spans="2:22">
      <c r="B93" t="s">
        <v>91</v>
      </c>
      <c r="P93" s="3"/>
      <c r="T93">
        <v>18</v>
      </c>
      <c r="U93">
        <f t="shared" si="6"/>
        <v>9930</v>
      </c>
    </row>
    <row r="94" spans="2:22">
      <c r="B94" t="s">
        <v>31</v>
      </c>
      <c r="C94" t="s">
        <v>65</v>
      </c>
      <c r="D94" t="s">
        <v>64</v>
      </c>
      <c r="E94" t="s">
        <v>66</v>
      </c>
      <c r="F94" t="s">
        <v>67</v>
      </c>
      <c r="G94" t="s">
        <v>68</v>
      </c>
      <c r="H94" t="s">
        <v>69</v>
      </c>
      <c r="I94" t="s">
        <v>62</v>
      </c>
    </row>
    <row r="95" spans="2:22">
      <c r="B95" t="s">
        <v>92</v>
      </c>
      <c r="C95">
        <v>0</v>
      </c>
      <c r="D95">
        <v>1</v>
      </c>
      <c r="E95">
        <v>1600</v>
      </c>
      <c r="F95">
        <v>40</v>
      </c>
      <c r="G95">
        <v>1</v>
      </c>
      <c r="H95">
        <v>9</v>
      </c>
      <c r="I95">
        <v>50</v>
      </c>
    </row>
    <row r="96" spans="2:22">
      <c r="B96" t="s">
        <v>84</v>
      </c>
      <c r="C96">
        <v>0</v>
      </c>
      <c r="D96">
        <v>2</v>
      </c>
      <c r="E96">
        <v>3100</v>
      </c>
      <c r="F96">
        <v>100</v>
      </c>
      <c r="G96">
        <v>3</v>
      </c>
      <c r="H96">
        <v>14</v>
      </c>
      <c r="I96">
        <v>205</v>
      </c>
    </row>
    <row r="97" spans="2:17">
      <c r="B97" t="s">
        <v>85</v>
      </c>
      <c r="C97">
        <v>0</v>
      </c>
      <c r="D97">
        <v>6</v>
      </c>
      <c r="E97">
        <v>7500</v>
      </c>
      <c r="F97">
        <v>240</v>
      </c>
      <c r="G97">
        <v>5</v>
      </c>
      <c r="H97">
        <v>22</v>
      </c>
      <c r="I97">
        <v>910</v>
      </c>
    </row>
    <row r="99" spans="2:17">
      <c r="B99" t="s">
        <v>94</v>
      </c>
    </row>
    <row r="100" spans="2:17">
      <c r="B100" t="s">
        <v>95</v>
      </c>
      <c r="J100" t="s">
        <v>119</v>
      </c>
    </row>
    <row r="101" spans="2:17">
      <c r="B101" t="s">
        <v>96</v>
      </c>
      <c r="J101" t="s">
        <v>70</v>
      </c>
      <c r="K101">
        <v>50</v>
      </c>
      <c r="L101">
        <v>0</v>
      </c>
      <c r="M101">
        <v>3100</v>
      </c>
      <c r="N101">
        <v>100</v>
      </c>
      <c r="O101">
        <v>2</v>
      </c>
      <c r="P101">
        <v>14</v>
      </c>
      <c r="Q101">
        <v>200</v>
      </c>
    </row>
    <row r="102" spans="2:17">
      <c r="B102" t="s">
        <v>97</v>
      </c>
      <c r="J102" t="s">
        <v>71</v>
      </c>
      <c r="K102">
        <v>150</v>
      </c>
      <c r="L102">
        <v>0</v>
      </c>
      <c r="M102">
        <v>7500</v>
      </c>
      <c r="N102">
        <v>240</v>
      </c>
      <c r="O102">
        <v>4</v>
      </c>
      <c r="P102">
        <v>33</v>
      </c>
      <c r="Q102">
        <v>890</v>
      </c>
    </row>
    <row r="103" spans="2:17">
      <c r="B103" t="s">
        <v>98</v>
      </c>
    </row>
    <row r="104" spans="2:17">
      <c r="J104" t="s">
        <v>111</v>
      </c>
    </row>
    <row r="105" spans="2:17">
      <c r="B105" t="s">
        <v>99</v>
      </c>
      <c r="J105" t="s">
        <v>70</v>
      </c>
      <c r="K105">
        <v>200</v>
      </c>
      <c r="L105">
        <v>0</v>
      </c>
      <c r="M105">
        <v>2800</v>
      </c>
      <c r="N105">
        <v>70</v>
      </c>
      <c r="O105">
        <v>2</v>
      </c>
      <c r="P105">
        <v>14</v>
      </c>
      <c r="Q105">
        <v>200</v>
      </c>
    </row>
    <row r="106" spans="2:17">
      <c r="B106" t="s">
        <v>100</v>
      </c>
      <c r="J106" t="s">
        <v>71</v>
      </c>
      <c r="K106">
        <v>480</v>
      </c>
      <c r="L106">
        <v>0</v>
      </c>
      <c r="M106">
        <v>7000</v>
      </c>
      <c r="N106">
        <v>170</v>
      </c>
      <c r="O106">
        <v>4</v>
      </c>
      <c r="P106">
        <v>33</v>
      </c>
      <c r="Q106">
        <v>890</v>
      </c>
    </row>
    <row r="107" spans="2:17">
      <c r="B107" t="s">
        <v>101</v>
      </c>
    </row>
    <row r="108" spans="2:17">
      <c r="J108" t="s">
        <v>112</v>
      </c>
    </row>
    <row r="109" spans="2:17">
      <c r="B109" t="s">
        <v>108</v>
      </c>
      <c r="J109" t="s">
        <v>70</v>
      </c>
      <c r="K109">
        <v>200</v>
      </c>
      <c r="L109">
        <v>0</v>
      </c>
      <c r="M109">
        <v>3100</v>
      </c>
      <c r="N109">
        <v>75</v>
      </c>
      <c r="O109">
        <v>2</v>
      </c>
      <c r="P109">
        <v>14</v>
      </c>
      <c r="Q109">
        <v>200</v>
      </c>
    </row>
    <row r="110" spans="2:17">
      <c r="B110" t="s">
        <v>109</v>
      </c>
      <c r="J110" t="s">
        <v>71</v>
      </c>
      <c r="K110">
        <v>480</v>
      </c>
      <c r="L110">
        <v>0</v>
      </c>
      <c r="M110">
        <v>7500</v>
      </c>
      <c r="N110">
        <v>180</v>
      </c>
      <c r="O110">
        <v>4</v>
      </c>
      <c r="P110">
        <v>33</v>
      </c>
      <c r="Q110">
        <v>890</v>
      </c>
    </row>
    <row r="111" spans="2:17">
      <c r="B111" t="s">
        <v>110</v>
      </c>
    </row>
    <row r="112" spans="2:17">
      <c r="J112" t="s">
        <v>113</v>
      </c>
    </row>
    <row r="113" spans="10:17">
      <c r="J113" t="s">
        <v>70</v>
      </c>
      <c r="K113">
        <v>125</v>
      </c>
      <c r="L113">
        <v>0</v>
      </c>
      <c r="M113">
        <v>3100</v>
      </c>
      <c r="N113">
        <v>75</v>
      </c>
      <c r="O113">
        <v>2</v>
      </c>
      <c r="P113">
        <v>14</v>
      </c>
      <c r="Q113">
        <v>200</v>
      </c>
    </row>
    <row r="114" spans="10:17">
      <c r="J114" t="s">
        <v>71</v>
      </c>
      <c r="K114">
        <v>300</v>
      </c>
      <c r="L114">
        <v>0</v>
      </c>
      <c r="M114">
        <v>7500</v>
      </c>
      <c r="N114">
        <v>180</v>
      </c>
      <c r="O114">
        <v>4</v>
      </c>
      <c r="P114">
        <v>33</v>
      </c>
      <c r="Q114">
        <v>890</v>
      </c>
    </row>
    <row r="116" spans="10:17">
      <c r="J116" t="s">
        <v>120</v>
      </c>
    </row>
    <row r="117" spans="10:17">
      <c r="J117" t="s">
        <v>70</v>
      </c>
      <c r="K117">
        <v>250</v>
      </c>
      <c r="L117">
        <v>0</v>
      </c>
      <c r="M117">
        <v>3100</v>
      </c>
      <c r="N117">
        <v>75</v>
      </c>
      <c r="O117">
        <v>2</v>
      </c>
      <c r="P117">
        <v>14</v>
      </c>
      <c r="Q117">
        <v>200</v>
      </c>
    </row>
    <row r="118" spans="10:17">
      <c r="J118" t="s">
        <v>71</v>
      </c>
      <c r="K118">
        <v>600</v>
      </c>
      <c r="L118">
        <v>0</v>
      </c>
      <c r="M118">
        <v>7500</v>
      </c>
      <c r="N118">
        <v>180</v>
      </c>
      <c r="O118">
        <v>4</v>
      </c>
      <c r="P118">
        <v>33</v>
      </c>
      <c r="Q118">
        <v>890</v>
      </c>
    </row>
    <row r="120" spans="10:17">
      <c r="J120" t="s">
        <v>114</v>
      </c>
    </row>
    <row r="121" spans="10:17">
      <c r="J121" t="s">
        <v>70</v>
      </c>
      <c r="K121">
        <v>250</v>
      </c>
      <c r="L121">
        <v>0</v>
      </c>
      <c r="M121">
        <v>3100</v>
      </c>
      <c r="N121">
        <v>75</v>
      </c>
      <c r="O121">
        <v>2</v>
      </c>
      <c r="P121">
        <v>14</v>
      </c>
      <c r="Q121">
        <v>200</v>
      </c>
    </row>
    <row r="122" spans="10:17">
      <c r="J122" t="s">
        <v>71</v>
      </c>
      <c r="K122">
        <v>600</v>
      </c>
      <c r="L122">
        <v>0</v>
      </c>
      <c r="M122">
        <v>7500</v>
      </c>
      <c r="N122">
        <v>180</v>
      </c>
      <c r="O122">
        <v>4</v>
      </c>
      <c r="P122">
        <v>33</v>
      </c>
      <c r="Q122">
        <v>890</v>
      </c>
    </row>
    <row r="124" spans="10:17">
      <c r="J124" t="s">
        <v>115</v>
      </c>
    </row>
    <row r="125" spans="10:17">
      <c r="J125" t="s">
        <v>70</v>
      </c>
      <c r="K125">
        <v>0</v>
      </c>
      <c r="L125">
        <v>0</v>
      </c>
      <c r="M125">
        <v>3100</v>
      </c>
      <c r="N125">
        <v>75</v>
      </c>
      <c r="O125">
        <v>2</v>
      </c>
      <c r="P125">
        <v>14</v>
      </c>
      <c r="Q125">
        <v>200</v>
      </c>
    </row>
    <row r="126" spans="10:17">
      <c r="J126" t="s">
        <v>71</v>
      </c>
      <c r="K126">
        <v>0</v>
      </c>
      <c r="L126">
        <v>0</v>
      </c>
      <c r="M126">
        <v>7500</v>
      </c>
      <c r="N126">
        <v>180</v>
      </c>
      <c r="O126">
        <v>4</v>
      </c>
      <c r="P126">
        <v>33</v>
      </c>
      <c r="Q126">
        <v>890</v>
      </c>
    </row>
    <row r="128" spans="10:17">
      <c r="J128" t="s">
        <v>116</v>
      </c>
    </row>
    <row r="129" spans="1:17">
      <c r="J129" t="s">
        <v>70</v>
      </c>
      <c r="K129">
        <v>70</v>
      </c>
      <c r="L129">
        <v>0</v>
      </c>
      <c r="M129">
        <v>4000</v>
      </c>
      <c r="N129">
        <v>100</v>
      </c>
      <c r="O129">
        <v>2</v>
      </c>
      <c r="P129">
        <v>14</v>
      </c>
      <c r="Q129">
        <v>200</v>
      </c>
    </row>
    <row r="130" spans="1:17">
      <c r="J130" t="s">
        <v>71</v>
      </c>
      <c r="K130">
        <v>170</v>
      </c>
      <c r="L130">
        <v>0</v>
      </c>
      <c r="M130">
        <v>9600</v>
      </c>
      <c r="N130">
        <v>240</v>
      </c>
      <c r="O130">
        <v>4</v>
      </c>
      <c r="P130">
        <v>33</v>
      </c>
      <c r="Q130">
        <v>890</v>
      </c>
    </row>
    <row r="132" spans="1:17">
      <c r="J132" t="s">
        <v>117</v>
      </c>
    </row>
    <row r="133" spans="1:17">
      <c r="J133" t="s">
        <v>70</v>
      </c>
      <c r="K133">
        <v>250</v>
      </c>
      <c r="L133">
        <v>0</v>
      </c>
      <c r="M133">
        <v>3100</v>
      </c>
      <c r="N133">
        <v>75</v>
      </c>
      <c r="O133">
        <v>2</v>
      </c>
      <c r="P133">
        <v>14</v>
      </c>
      <c r="Q133">
        <v>200</v>
      </c>
    </row>
    <row r="134" spans="1:17">
      <c r="J134" t="s">
        <v>71</v>
      </c>
      <c r="K134">
        <v>600</v>
      </c>
      <c r="L134">
        <v>0</v>
      </c>
      <c r="M134">
        <v>7500</v>
      </c>
      <c r="N134">
        <v>180</v>
      </c>
      <c r="O134">
        <v>4</v>
      </c>
      <c r="P134">
        <v>33</v>
      </c>
      <c r="Q134">
        <v>890</v>
      </c>
    </row>
    <row r="136" spans="1:17">
      <c r="J136" t="s">
        <v>118</v>
      </c>
    </row>
    <row r="137" spans="1:17">
      <c r="J137" t="s">
        <v>70</v>
      </c>
      <c r="K137">
        <v>50</v>
      </c>
      <c r="L137">
        <v>0</v>
      </c>
      <c r="M137">
        <v>2700</v>
      </c>
      <c r="N137">
        <v>50</v>
      </c>
      <c r="O137">
        <v>2</v>
      </c>
      <c r="P137">
        <v>14</v>
      </c>
      <c r="Q137">
        <v>200</v>
      </c>
    </row>
    <row r="138" spans="1:17">
      <c r="J138" t="s">
        <v>71</v>
      </c>
      <c r="K138">
        <v>150</v>
      </c>
      <c r="L138">
        <v>0</v>
      </c>
      <c r="M138">
        <v>6500</v>
      </c>
      <c r="N138">
        <v>150</v>
      </c>
      <c r="O138">
        <v>4</v>
      </c>
      <c r="P138">
        <v>33</v>
      </c>
      <c r="Q138">
        <v>890</v>
      </c>
    </row>
    <row r="141" spans="1:17">
      <c r="A141" t="s">
        <v>121</v>
      </c>
      <c r="B141" t="s">
        <v>93</v>
      </c>
      <c r="C141">
        <v>0</v>
      </c>
      <c r="D141">
        <v>3</v>
      </c>
      <c r="E141">
        <v>4000</v>
      </c>
      <c r="F141">
        <v>80</v>
      </c>
      <c r="G141">
        <v>3</v>
      </c>
      <c r="H141">
        <v>19</v>
      </c>
      <c r="I141">
        <v>205</v>
      </c>
      <c r="J141" t="s">
        <v>122</v>
      </c>
      <c r="K141">
        <v>1</v>
      </c>
      <c r="L141" t="s">
        <v>123</v>
      </c>
    </row>
    <row r="142" spans="1:17">
      <c r="A142" t="s">
        <v>124</v>
      </c>
      <c r="B142" t="s">
        <v>93</v>
      </c>
      <c r="C142">
        <v>0</v>
      </c>
      <c r="D142">
        <v>6</v>
      </c>
      <c r="E142">
        <v>10000</v>
      </c>
      <c r="F142">
        <v>200</v>
      </c>
      <c r="G142">
        <v>5</v>
      </c>
      <c r="H142">
        <v>41</v>
      </c>
      <c r="I142">
        <v>910</v>
      </c>
      <c r="J142" t="s">
        <v>122</v>
      </c>
      <c r="K142">
        <v>2</v>
      </c>
      <c r="L142" t="s">
        <v>125</v>
      </c>
    </row>
    <row r="143" spans="1:17">
      <c r="A143" t="s">
        <v>126</v>
      </c>
      <c r="B143" t="s">
        <v>93</v>
      </c>
      <c r="C143">
        <v>0</v>
      </c>
      <c r="D143">
        <v>0</v>
      </c>
      <c r="E143">
        <v>5000</v>
      </c>
      <c r="F143">
        <v>100</v>
      </c>
      <c r="G143">
        <v>3</v>
      </c>
      <c r="H143">
        <v>14</v>
      </c>
      <c r="I143">
        <v>205</v>
      </c>
      <c r="J143" t="s">
        <v>127</v>
      </c>
      <c r="K143">
        <v>1</v>
      </c>
      <c r="L143" t="s">
        <v>128</v>
      </c>
    </row>
    <row r="144" spans="1:17">
      <c r="A144" t="s">
        <v>129</v>
      </c>
      <c r="B144" t="s">
        <v>93</v>
      </c>
      <c r="C144">
        <v>0</v>
      </c>
      <c r="D144">
        <v>0</v>
      </c>
      <c r="E144">
        <v>11000</v>
      </c>
      <c r="F144">
        <v>250</v>
      </c>
      <c r="G144">
        <v>5</v>
      </c>
      <c r="H144">
        <v>33</v>
      </c>
      <c r="I144">
        <v>910</v>
      </c>
      <c r="J144" t="s">
        <v>127</v>
      </c>
      <c r="K144">
        <v>2</v>
      </c>
      <c r="L144" t="s">
        <v>130</v>
      </c>
    </row>
    <row r="146" spans="1:1">
      <c r="A146" t="s">
        <v>131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 H</dc:creator>
  <cp:lastModifiedBy>LL H</cp:lastModifiedBy>
  <dcterms:created xsi:type="dcterms:W3CDTF">2025-07-15T21:09:13Z</dcterms:created>
  <dcterms:modified xsi:type="dcterms:W3CDTF">2025-10-06T22:30:31Z</dcterms:modified>
</cp:coreProperties>
</file>